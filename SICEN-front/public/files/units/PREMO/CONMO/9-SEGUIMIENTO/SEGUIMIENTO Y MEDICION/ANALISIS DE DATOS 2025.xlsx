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7"/>
  </bookViews>
  <sheets>
    <sheet name="ENERO 25" sheetId="1" state="visible" r:id="rId1"/>
    <sheet name="FEBRERO 25" sheetId="2" state="visible" r:id="rId2"/>
    <sheet name="MARZO 25" sheetId="3" state="visible" r:id="rId3"/>
    <sheet name="ABRIL 25" sheetId="4" state="visible" r:id="rId4"/>
    <sheet name="MAYO 25" sheetId="5" state="visible" r:id="rId5"/>
    <sheet name="JUNIO 25" sheetId="6" state="visible" r:id="rId6"/>
    <sheet name=" JULIO 25" sheetId="7" state="visible" r:id="rId7"/>
    <sheet name="RESUMEN ENERO AGOSTO" sheetId="8" state="visible" r:id="rId8"/>
    <sheet name="AGOSTO 25" sheetId="9" state="visible" r:id="rId9"/>
    <sheet name="SEPTIEMBRE 25" sheetId="10" state="visible" r:id="rId10"/>
    <sheet name="OCTUBRE 25" sheetId="11" state="visible" r:id="rId11"/>
    <sheet name="NOVIEMBRE 25" sheetId="12" state="visible" r:id="rId12"/>
    <sheet name="DICIEMBRE 25" sheetId="13" state="visible" r:id="rId13"/>
  </sheets>
  <calcPr/>
</workbook>
</file>

<file path=xl/sharedStrings.xml><?xml version="1.0" encoding="utf-8"?>
<sst xmlns="http://schemas.openxmlformats.org/spreadsheetml/2006/main" count="42" uniqueCount="42">
  <si>
    <t xml:space="preserve">faltante de ficha</t>
  </si>
  <si>
    <t xml:space="preserve">faltante de datos en la ficha</t>
  </si>
  <si>
    <t xml:space="preserve">ratio % faltante de ficha</t>
  </si>
  <si>
    <t xml:space="preserve">ratio % faltante de datos en ficha</t>
  </si>
  <si>
    <t xml:space="preserve">error de procedimiento trazabilidad de la entrada</t>
  </si>
  <si>
    <t>ENTRADAS</t>
  </si>
  <si>
    <t>SALIDAS</t>
  </si>
  <si>
    <t>CAMBIOS</t>
  </si>
  <si>
    <t>ent/sal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</si>
  <si>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</si>
  <si>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</si>
  <si>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</si>
  <si>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</si>
  <si>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</si>
  <si>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</si>
  <si>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</si>
  <si>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</si>
  <si>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</si>
  <si>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</si>
  <si>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</si>
  <si>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dici</t>
  </si>
  <si>
    <t xml:space="preserve">ratio % falta ficha</t>
  </si>
  <si>
    <t>0.0</t>
  </si>
  <si>
    <t>1.3</t>
  </si>
  <si>
    <t>0.11</t>
  </si>
  <si>
    <t xml:space="preserve">ratio % dato</t>
  </si>
  <si>
    <t>5.8</t>
  </si>
  <si>
    <t>cambios</t>
  </si>
  <si>
    <t>dic</t>
  </si>
  <si>
    <t>4.7</t>
  </si>
  <si>
    <t>entrada</t>
  </si>
  <si>
    <t xml:space="preserve">ratio % error trazabilidad</t>
  </si>
  <si>
    <t>0.9</t>
  </si>
  <si>
    <t>0.4</t>
  </si>
  <si>
    <t>1.6</t>
  </si>
  <si>
    <t>0.7</t>
  </si>
  <si>
    <t>1.0</t>
  </si>
  <si>
    <t>2.0</t>
  </si>
  <si>
    <t>1.51</t>
  </si>
  <si>
    <t xml:space="preserve"> </t>
  </si>
  <si>
    <t xml:space="preserve">Para Auditoria se tomo </t>
  </si>
  <si>
    <t xml:space="preserve">de Enero-Agosto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</si>
</sst>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%"/>
  </numFmts>
  <fonts count="5">
    <font>
      <sz val="11.000000"/>
      <color theme="1"/>
      <name val="Calibri"/>
      <scheme val="minor"/>
    </font>
    <font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sz val="11.000000"/>
      <name val="Calibri"/>
      <scheme val="minor"/>
    </font>
    <font>
      <b/>
      <sz val="11.000000"/>
      <color indexed="2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50">
    <xf fontId="0" fillId="0" borderId="0" numFmtId="0" xfId="0"/>
    <xf fontId="0" fillId="0" borderId="0" numFmtId="0" xfId="0" applyAlignment="1">
      <alignment horizontal="center" vertical="top" wrapText="1"/>
    </xf>
    <xf fontId="0" fillId="0" borderId="0" numFmtId="0" xfId="0" applyAlignment="1">
      <alignment vertical="top" wrapText="1"/>
    </xf>
    <xf fontId="0" fillId="0" borderId="0" numFmtId="0" xfId="0" applyAlignment="1">
      <alignment wrapText="1"/>
    </xf>
    <xf fontId="1" fillId="0" borderId="0" numFmtId="0" xfId="0" applyFont="1"/>
    <xf fontId="1" fillId="0" borderId="0" numFmtId="160" xfId="1" applyNumberFormat="1" applyFont="1"/>
    <xf fontId="2" fillId="0" borderId="0" numFmtId="0" xfId="0" applyFont="1"/>
    <xf fontId="1" fillId="2" borderId="0" numFmtId="160" xfId="1" applyNumberFormat="1" applyFont="1" applyFill="1"/>
    <xf fontId="1" fillId="2" borderId="0" numFmtId="9" xfId="1" applyNumberFormat="1" applyFont="1" applyFill="1"/>
    <xf fontId="2" fillId="0" borderId="0" numFmtId="160" xfId="1" applyNumberFormat="1" applyFont="1"/>
    <xf fontId="1" fillId="3" borderId="0" numFmtId="160" xfId="1" applyNumberFormat="1" applyFont="1" applyFill="1"/>
    <xf fontId="0" fillId="0" borderId="0" numFmtId="160" xfId="0" applyNumberFormat="1"/>
    <xf fontId="0" fillId="0" borderId="0" numFmtId="0" xfId="0"/>
    <xf fontId="0" fillId="0" borderId="0" numFmtId="0" xfId="0">
      <protection hidden="0" locked="1"/>
    </xf>
    <xf fontId="3" fillId="0" borderId="0" numFmtId="0" xfId="0" applyFont="1"/>
    <xf fontId="3" fillId="0" borderId="0" numFmtId="160" xfId="1" applyNumberFormat="1" applyFont="1"/>
    <xf fontId="3" fillId="2" borderId="0" numFmtId="160" xfId="1" applyNumberFormat="1" applyFont="1" applyFill="1"/>
    <xf fontId="3" fillId="2" borderId="0" numFmtId="9" xfId="1" applyNumberFormat="1" applyFont="1" applyFill="1"/>
    <xf fontId="3" fillId="3" borderId="0" numFmtId="0" xfId="0" applyFont="1" applyFill="1"/>
    <xf fontId="3" fillId="3" borderId="0" numFmtId="160" xfId="1" applyNumberFormat="1" applyFont="1" applyFill="1"/>
    <xf fontId="2" fillId="0" borderId="0" numFmtId="160" xfId="0" applyNumberFormat="1" applyFont="1"/>
    <xf fontId="1" fillId="3" borderId="0" numFmtId="0" xfId="0" applyFont="1" applyFill="1"/>
    <xf fontId="4" fillId="0" borderId="0" numFmtId="0" xfId="0" applyFont="1"/>
    <xf fontId="0" fillId="3" borderId="0" numFmtId="0" xfId="0" applyFill="1"/>
    <xf fontId="0" fillId="0" borderId="1" numFmtId="0" xfId="0" applyBorder="1"/>
    <xf fontId="0" fillId="0" borderId="1" numFmtId="0" xfId="0" applyBorder="1" applyAlignment="1">
      <alignment horizontal="right"/>
    </xf>
    <xf fontId="0" fillId="0" borderId="1" numFmtId="0" xfId="0" applyBorder="1" applyAlignment="1">
      <alignment horizontal="right"/>
    </xf>
    <xf fontId="3" fillId="0" borderId="1" numFmtId="0" xfId="0" applyFont="1" applyBorder="1" applyAlignment="1">
      <alignment horizontal="right"/>
    </xf>
    <xf fontId="1" fillId="0" borderId="1" numFmtId="0" xfId="0" applyFont="1" applyBorder="1" applyAlignment="1">
      <alignment horizontal="right"/>
    </xf>
    <xf fontId="0" fillId="3" borderId="1" numFmtId="0" xfId="1" applyFill="1" applyBorder="1" applyAlignment="1">
      <alignment horizontal="right"/>
    </xf>
    <xf fontId="3" fillId="0" borderId="1" numFmtId="0" xfId="0" applyFont="1" applyBorder="1"/>
    <xf fontId="1" fillId="0" borderId="1" numFmtId="0" xfId="0" applyFont="1" applyBorder="1"/>
    <xf fontId="0" fillId="3" borderId="1" numFmtId="0" xfId="0" applyFill="1" applyBorder="1" applyAlignment="1">
      <alignment horizontal="right"/>
    </xf>
    <xf fontId="2" fillId="3" borderId="1" numFmtId="0" xfId="0" applyFont="1" applyFill="1" applyBorder="1"/>
    <xf fontId="0" fillId="0" borderId="2" numFmtId="0" xfId="0" applyBorder="1" applyAlignment="1">
      <alignment horizontal="right"/>
    </xf>
    <xf fontId="0" fillId="0" borderId="3" numFmtId="0" xfId="0" applyBorder="1" applyAlignment="1">
      <alignment horizontal="right"/>
    </xf>
    <xf fontId="3" fillId="0" borderId="4" numFmtId="0" xfId="0" applyFont="1" applyBorder="1" applyAlignment="1">
      <alignment horizontal="right"/>
    </xf>
    <xf fontId="0" fillId="3" borderId="1" numFmtId="0" xfId="0" applyFill="1" applyBorder="1" applyAlignment="1">
      <alignment horizontal="right"/>
    </xf>
    <xf fontId="1" fillId="0" borderId="2" numFmtId="0" xfId="0" applyFont="1" applyBorder="1"/>
    <xf fontId="0" fillId="0" borderId="3" numFmtId="0" xfId="0" applyBorder="1"/>
    <xf fontId="3" fillId="0" borderId="4" numFmtId="0" xfId="0" applyFont="1" applyBorder="1"/>
    <xf fontId="0" fillId="0" borderId="5" numFmtId="0" xfId="0" applyBorder="1"/>
    <xf fontId="2" fillId="3" borderId="0" numFmtId="0" xfId="0" applyFont="1" applyFill="1"/>
    <xf fontId="0" fillId="0" borderId="0" numFmtId="160" xfId="1" applyNumberFormat="1"/>
    <xf fontId="0" fillId="2" borderId="0" numFmtId="160" xfId="1" applyNumberFormat="1" applyFill="1"/>
    <xf fontId="0" fillId="2" borderId="0" numFmtId="9" xfId="1" applyNumberFormat="1" applyFill="1"/>
    <xf fontId="0" fillId="4" borderId="0" numFmtId="0" xfId="0" applyFill="1"/>
    <xf fontId="0" fillId="4" borderId="0" numFmtId="160" xfId="1" applyNumberFormat="1" applyFill="1"/>
    <xf fontId="1" fillId="4" borderId="0" numFmtId="0" xfId="0" applyFont="1" applyFill="1"/>
    <xf fontId="1" fillId="4" borderId="0" numFmtId="160" xfId="1" applyNumberFormat="1" applyFont="1" applyFill="1"/>
  </cellXfs>
  <cellStyles count="2">
    <cellStyle name="Normal" xfId="0" builtinId="0"/>
    <cellStyle name="Porcentual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0" Type="http://schemas.openxmlformats.org/officeDocument/2006/relationships/worksheet" Target="worksheets/sheet10.xml"/><Relationship  Id="rId15" Type="http://schemas.openxmlformats.org/officeDocument/2006/relationships/sharedStrings" Target="sharedStrings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theme" Target="theme/theme1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styles" Target="styles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2" activeCellId="0" sqref="D12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4">
        <v>226</v>
      </c>
      <c r="C2" s="4">
        <v>0</v>
      </c>
      <c r="D2" s="4">
        <v>6</v>
      </c>
      <c r="E2" s="5">
        <f t="shared" ref="E2:E3" si="0">C2/B2</f>
        <v>0</v>
      </c>
      <c r="F2" s="5">
        <f t="shared" ref="F2:F3" si="1">D2/B2</f>
        <v>2.6548672566371681e-002</v>
      </c>
      <c r="G2" s="4">
        <v>0</v>
      </c>
      <c r="H2" s="5">
        <f>G2/B2</f>
        <v>0</v>
      </c>
    </row>
    <row r="3">
      <c r="A3" t="s">
        <v>6</v>
      </c>
      <c r="B3" s="4">
        <v>228</v>
      </c>
      <c r="C3" s="4">
        <v>0</v>
      </c>
      <c r="D3" s="4">
        <v>4</v>
      </c>
      <c r="E3" s="5">
        <f t="shared" si="0"/>
        <v>0</v>
      </c>
      <c r="F3" s="5">
        <f t="shared" si="1"/>
        <v>1.7543859649122806e-002</v>
      </c>
      <c r="G3" s="4"/>
      <c r="H3" s="6"/>
    </row>
    <row r="4">
      <c r="B4" s="6"/>
      <c r="C4" s="6"/>
      <c r="D4" s="6"/>
      <c r="E4" s="7">
        <f>AVERAGE(E2:E3)</f>
        <v>0</v>
      </c>
      <c r="F4" s="8">
        <f>AVERAGE(F2:F3)</f>
        <v>2.2046266107747244e-002</v>
      </c>
      <c r="G4" s="9"/>
      <c r="H4" s="6"/>
    </row>
    <row r="5">
      <c r="A5" t="s">
        <v>7</v>
      </c>
      <c r="B5" s="4">
        <v>73</v>
      </c>
      <c r="C5" s="4">
        <v>0</v>
      </c>
      <c r="D5" s="4">
        <v>5</v>
      </c>
      <c r="E5" s="10">
        <f>C5/B5</f>
        <v>0</v>
      </c>
      <c r="F5" s="8">
        <f>D5/B5</f>
        <v>6.8493150684931503e-002</v>
      </c>
      <c r="G5" s="6"/>
      <c r="H5" s="6"/>
    </row>
    <row r="6">
      <c r="E6" s="11"/>
      <c r="F6" s="11"/>
    </row>
    <row r="9">
      <c r="D9" s="12"/>
      <c r="E9" s="12"/>
      <c r="F9" s="1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A5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4">
        <v>233</v>
      </c>
      <c r="C2" s="4">
        <v>0</v>
      </c>
      <c r="D2" s="4">
        <v>7</v>
      </c>
      <c r="E2" s="5">
        <f t="shared" ref="E2:E3" si="2">C2/B2</f>
        <v>0</v>
      </c>
      <c r="F2" s="5">
        <f t="shared" ref="F2:F3" si="3">D2/B2</f>
        <v>3.0042918454935622e-002</v>
      </c>
      <c r="G2" s="4">
        <v>0</v>
      </c>
      <c r="H2" s="5">
        <f>G2/B2</f>
        <v>0</v>
      </c>
    </row>
    <row r="3">
      <c r="A3" t="s">
        <v>6</v>
      </c>
      <c r="B3" s="4">
        <v>249</v>
      </c>
      <c r="C3" s="4">
        <v>0</v>
      </c>
      <c r="D3" s="4">
        <v>6</v>
      </c>
      <c r="E3" s="5">
        <f t="shared" si="2"/>
        <v>0</v>
      </c>
      <c r="F3" s="5">
        <f t="shared" si="3"/>
        <v>2.4096385542168676e-002</v>
      </c>
      <c r="G3" s="6"/>
      <c r="H3" s="6"/>
    </row>
    <row r="4">
      <c r="B4" s="6"/>
      <c r="C4" s="6"/>
      <c r="D4" s="6"/>
      <c r="E4" s="7">
        <f>AVERAGE(E2:E3)</f>
        <v>0</v>
      </c>
      <c r="F4" s="8">
        <f>AVERAGE(F2:F3)</f>
        <v>2.7069651998552151e-002</v>
      </c>
      <c r="G4" s="9"/>
      <c r="H4" s="6"/>
    </row>
    <row r="5">
      <c r="A5" t="s">
        <v>7</v>
      </c>
      <c r="B5" s="4">
        <v>70</v>
      </c>
      <c r="C5" s="4">
        <v>0</v>
      </c>
      <c r="D5" s="4">
        <v>1</v>
      </c>
      <c r="E5" s="5">
        <f>C5/B5</f>
        <v>0</v>
      </c>
      <c r="F5" s="8">
        <f>D5/B5</f>
        <v>1.4285714285714285e-002</v>
      </c>
      <c r="G5" s="6"/>
      <c r="H5" s="6"/>
    </row>
    <row r="6">
      <c r="E6" s="11"/>
      <c r="F6" s="11"/>
    </row>
    <row r="7">
      <c r="G7" s="1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2" activeCellId="0" sqref="E12:F12"/>
    </sheetView>
  </sheetViews>
  <sheetFormatPr baseColWidth="10" defaultRowHeight="14.25"/>
  <cols>
    <col customWidth="1" min="1" max="1" width="12.8515625"/>
    <col min="7" max="7" style="0" width="11.42578125"/>
  </cols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s="13" t="s">
        <v>5</v>
      </c>
      <c r="B2" s="4">
        <v>227</v>
      </c>
      <c r="C2" s="4">
        <v>4</v>
      </c>
      <c r="D2" s="4">
        <v>6</v>
      </c>
      <c r="E2" s="5">
        <f t="shared" ref="E2:E3" si="4">C2/B2</f>
        <v>1.7621145374449341e-002</v>
      </c>
      <c r="F2" s="5">
        <f t="shared" ref="F2:F3" si="5">D2/B2</f>
        <v>2.643171806167401e-002</v>
      </c>
      <c r="G2" s="4">
        <v>2</v>
      </c>
      <c r="H2" s="5">
        <f>G2/B2</f>
        <v>8.8105726872246704e-003</v>
      </c>
      <c r="I2" s="5"/>
    </row>
    <row r="3">
      <c r="A3" s="13" t="s">
        <v>6</v>
      </c>
      <c r="B3" s="4">
        <v>230</v>
      </c>
      <c r="C3" s="4">
        <v>2</v>
      </c>
      <c r="D3" s="4">
        <v>9</v>
      </c>
      <c r="E3" s="5">
        <f t="shared" si="4"/>
        <v>8.6956521739130436e-003</v>
      </c>
      <c r="F3" s="5">
        <f t="shared" si="5"/>
        <v>3.9130434782608699e-002</v>
      </c>
      <c r="G3" s="6"/>
      <c r="H3" s="6"/>
      <c r="I3" s="6"/>
    </row>
    <row r="4">
      <c r="A4" s="13"/>
      <c r="B4" s="6"/>
      <c r="C4" s="6"/>
      <c r="D4" s="6"/>
      <c r="E4" s="7">
        <f>AVERAGE(E2:E3)</f>
        <v>1.3158398774181193e-002</v>
      </c>
      <c r="F4" s="8">
        <f>AVERAGE(F2:F3)</f>
        <v>3.2781076422141356e-002</v>
      </c>
      <c r="G4" s="9"/>
      <c r="H4" s="6"/>
      <c r="I4" s="6"/>
    </row>
    <row r="5">
      <c r="A5" s="13" t="s">
        <v>7</v>
      </c>
      <c r="B5" s="4">
        <v>48</v>
      </c>
      <c r="C5" s="4">
        <v>0</v>
      </c>
      <c r="D5" s="4">
        <v>0</v>
      </c>
      <c r="E5" s="5">
        <f>C5/B5</f>
        <v>0</v>
      </c>
      <c r="F5" s="8">
        <f>D5/B5</f>
        <v>0</v>
      </c>
      <c r="G5" s="6"/>
      <c r="H5" s="6"/>
      <c r="I5" s="6"/>
    </row>
    <row r="6">
      <c r="F6" s="11"/>
      <c r="G6" s="11"/>
    </row>
    <row r="7">
      <c r="G7" s="12"/>
      <c r="L7" s="12"/>
    </row>
    <row r="8">
      <c r="E8" s="12"/>
    </row>
    <row r="9">
      <c r="B9" s="12"/>
      <c r="C9" s="12"/>
      <c r="E9" s="12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4" activeCellId="0" sqref="D14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14">
        <v>254</v>
      </c>
      <c r="C2" s="14">
        <v>0</v>
      </c>
      <c r="D2" s="14">
        <v>12</v>
      </c>
      <c r="E2" s="15">
        <f t="shared" ref="E2:E3" si="6">C2/B2</f>
        <v>0</v>
      </c>
      <c r="F2" s="15">
        <f t="shared" ref="F2:F3" si="7">D2/B2</f>
        <v>4.7244094488188976e-002</v>
      </c>
      <c r="G2" s="14">
        <v>1</v>
      </c>
      <c r="H2" s="15">
        <f>G2/B2</f>
        <v>3.937007874015748e-003</v>
      </c>
      <c r="I2" s="4"/>
    </row>
    <row r="3">
      <c r="A3" t="s">
        <v>6</v>
      </c>
      <c r="B3" s="14">
        <v>228</v>
      </c>
      <c r="C3" s="14">
        <v>0</v>
      </c>
      <c r="D3" s="14">
        <v>8</v>
      </c>
      <c r="E3" s="15">
        <f t="shared" si="6"/>
        <v>0</v>
      </c>
      <c r="F3" s="15">
        <f t="shared" si="7"/>
        <v>3.5087719298245612e-002</v>
      </c>
      <c r="G3" s="6"/>
      <c r="H3" s="6"/>
    </row>
    <row r="4">
      <c r="B4" s="6"/>
      <c r="C4" s="6"/>
      <c r="D4" s="6"/>
      <c r="E4" s="16">
        <f>AVERAGE(E2:E3)</f>
        <v>0</v>
      </c>
      <c r="F4" s="17">
        <f>AVERAGE(F2:F3)</f>
        <v>4.1165906893217294e-002</v>
      </c>
      <c r="G4" s="9"/>
      <c r="H4" s="6"/>
    </row>
    <row r="5">
      <c r="A5" t="s">
        <v>7</v>
      </c>
      <c r="B5" s="14">
        <v>44</v>
      </c>
      <c r="C5" s="18">
        <v>0</v>
      </c>
      <c r="D5" s="18">
        <v>3</v>
      </c>
      <c r="E5" s="19">
        <f>C5/B5</f>
        <v>0</v>
      </c>
      <c r="F5" s="17">
        <f>D5/B5</f>
        <v>6.8181818181818177e-002</v>
      </c>
      <c r="G5" s="6"/>
      <c r="H5" s="6"/>
    </row>
    <row r="6">
      <c r="B6" s="6"/>
      <c r="C6" s="6"/>
      <c r="D6" s="6"/>
      <c r="E6" s="20"/>
      <c r="F6" s="20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4" activeCellId="0" sqref="E14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4">
        <v>245</v>
      </c>
      <c r="C2" s="4">
        <v>0</v>
      </c>
      <c r="D2" s="4">
        <v>15</v>
      </c>
      <c r="E2" s="5">
        <f t="shared" ref="E2:E3" si="8">C2/B2</f>
        <v>0</v>
      </c>
      <c r="F2" s="5">
        <f t="shared" ref="F2:F3" si="9">D2/B2</f>
        <v>6.1224489795918366e-002</v>
      </c>
      <c r="G2" s="4">
        <v>4</v>
      </c>
      <c r="H2" s="5">
        <f>G2/B2</f>
        <v>1.6326530612244899e-002</v>
      </c>
    </row>
    <row r="3">
      <c r="A3" t="s">
        <v>6</v>
      </c>
      <c r="B3" s="4">
        <v>217</v>
      </c>
      <c r="C3" s="4">
        <v>0</v>
      </c>
      <c r="D3" s="4">
        <v>11</v>
      </c>
      <c r="E3" s="5">
        <f t="shared" si="8"/>
        <v>0</v>
      </c>
      <c r="F3" s="5">
        <f t="shared" si="9"/>
        <v>5.0691244239631339e-002</v>
      </c>
      <c r="G3" s="6"/>
      <c r="H3" s="6"/>
    </row>
    <row r="4">
      <c r="B4" s="6"/>
      <c r="C4" s="6"/>
      <c r="D4" s="6"/>
      <c r="E4" s="7">
        <f>AVERAGE(E2:E3)</f>
        <v>0</v>
      </c>
      <c r="F4" s="8">
        <f>AVERAGE(F2:F3)</f>
        <v>5.5957867017774852e-002</v>
      </c>
      <c r="G4" s="9"/>
      <c r="H4" s="6"/>
    </row>
    <row r="5">
      <c r="A5" t="s">
        <v>7</v>
      </c>
      <c r="B5" s="4">
        <v>38</v>
      </c>
      <c r="C5" s="21">
        <v>0</v>
      </c>
      <c r="D5" s="21">
        <v>2</v>
      </c>
      <c r="E5" s="10">
        <f>C5/B5</f>
        <v>0</v>
      </c>
      <c r="F5" s="8">
        <f>D5/B5</f>
        <v>5.2631578947368418e-002</v>
      </c>
      <c r="G5" s="6"/>
      <c r="H5" s="6"/>
    </row>
    <row r="6" ht="14.25">
      <c r="B6" s="6"/>
      <c r="C6" s="6"/>
      <c r="D6" s="6"/>
      <c r="E6" s="6"/>
      <c r="F6" s="6"/>
      <c r="G6" s="6"/>
      <c r="H6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4" activeCellId="0" sqref="F14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4">
        <v>277</v>
      </c>
      <c r="C2" s="4">
        <v>0</v>
      </c>
      <c r="D2" s="4">
        <v>22</v>
      </c>
      <c r="E2" s="5">
        <f t="shared" ref="E2:E3" si="10">C2/B2</f>
        <v>0</v>
      </c>
      <c r="F2" s="5">
        <f t="shared" ref="F2:F3" si="11">D2/B2</f>
        <v>7.9422382671480149e-002</v>
      </c>
      <c r="G2" s="4">
        <v>2</v>
      </c>
      <c r="H2" s="5">
        <f>G2/B2</f>
        <v>7.2202166064981952e-003</v>
      </c>
      <c r="I2" s="12"/>
    </row>
    <row r="3">
      <c r="A3" t="s">
        <v>6</v>
      </c>
      <c r="B3" s="4">
        <v>272</v>
      </c>
      <c r="C3" s="4">
        <v>0</v>
      </c>
      <c r="D3" s="4">
        <v>21</v>
      </c>
      <c r="E3" s="5">
        <f t="shared" si="10"/>
        <v>0</v>
      </c>
      <c r="F3" s="5">
        <f t="shared" si="11"/>
        <v>7.720588235294118e-002</v>
      </c>
      <c r="G3" s="6"/>
      <c r="H3" s="6"/>
      <c r="I3" s="12"/>
    </row>
    <row r="4">
      <c r="B4" s="6"/>
      <c r="C4" s="6"/>
      <c r="D4" s="6"/>
      <c r="E4" s="7">
        <f>AVERAGE(E2:E3)</f>
        <v>0</v>
      </c>
      <c r="F4" s="8">
        <f>AVERAGE(F2:F3)</f>
        <v>7.8314132512210671e-002</v>
      </c>
      <c r="G4" s="9"/>
      <c r="H4" s="6"/>
    </row>
    <row r="5">
      <c r="A5" t="s">
        <v>7</v>
      </c>
      <c r="B5" s="4">
        <v>41</v>
      </c>
      <c r="C5" s="21">
        <v>0</v>
      </c>
      <c r="D5" s="21">
        <v>2</v>
      </c>
      <c r="E5" s="10">
        <f>C5/B5</f>
        <v>0</v>
      </c>
      <c r="F5" s="8">
        <f>D5/B5</f>
        <v>4.878048780487805e-002</v>
      </c>
      <c r="G5" s="6"/>
      <c r="H5" s="6"/>
    </row>
    <row r="6">
      <c r="E6" s="11"/>
      <c r="F6" s="1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:H5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4">
        <v>232</v>
      </c>
      <c r="C2" s="4">
        <v>0</v>
      </c>
      <c r="D2" s="4">
        <v>25</v>
      </c>
      <c r="E2" s="5">
        <f t="shared" ref="E2:E3" si="12">C2/B2</f>
        <v>0</v>
      </c>
      <c r="F2" s="5">
        <f t="shared" ref="F2:F3" si="13">D2/B2</f>
        <v>0.10775862068965517</v>
      </c>
      <c r="G2" s="4">
        <v>3</v>
      </c>
      <c r="H2" s="5">
        <f>G2/B2</f>
        <v>1.2931034482758621e-002</v>
      </c>
    </row>
    <row r="3">
      <c r="A3" t="s">
        <v>6</v>
      </c>
      <c r="B3" s="4">
        <v>304</v>
      </c>
      <c r="C3" s="4">
        <v>0</v>
      </c>
      <c r="D3" s="4">
        <v>23</v>
      </c>
      <c r="E3" s="5">
        <f t="shared" si="12"/>
        <v>0</v>
      </c>
      <c r="F3" s="5">
        <f t="shared" si="13"/>
        <v>7.5657894736842105e-002</v>
      </c>
      <c r="G3" s="6"/>
      <c r="H3" s="6"/>
    </row>
    <row r="4">
      <c r="B4" s="6"/>
      <c r="C4" s="6"/>
      <c r="D4" s="4"/>
      <c r="E4" s="7">
        <f>AVERAGE(E2:E3)</f>
        <v>0</v>
      </c>
      <c r="F4" s="8">
        <f>AVERAGE(F2:F3)</f>
        <v>9.1708257713248642e-002</v>
      </c>
      <c r="G4" s="9"/>
      <c r="H4" s="6"/>
    </row>
    <row r="5">
      <c r="A5" t="s">
        <v>7</v>
      </c>
      <c r="B5" s="4">
        <v>48</v>
      </c>
      <c r="C5" s="21">
        <v>0</v>
      </c>
      <c r="D5" s="21">
        <v>3</v>
      </c>
      <c r="E5" s="10">
        <f>C5/B5</f>
        <v>0</v>
      </c>
      <c r="F5" s="8">
        <f>D5/B5</f>
        <v>6.25e-002</v>
      </c>
      <c r="G5" s="6"/>
      <c r="H5" s="6"/>
    </row>
    <row r="6">
      <c r="E6" s="11"/>
      <c r="F6" s="1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3" activeCellId="0" sqref="K13"/>
    </sheetView>
  </sheetViews>
  <sheetFormatPr baseColWidth="10" defaultRowHeight="14.25"/>
  <cols>
    <col customWidth="1" min="1" max="1" width="24"/>
    <col min="14" max="14" style="12" width="11.42578125"/>
  </cols>
  <sheetData>
    <row r="1">
      <c r="A1" s="22" t="s">
        <v>8</v>
      </c>
      <c r="B1" s="22"/>
      <c r="C1" s="22"/>
      <c r="N1" s="23"/>
    </row>
    <row r="2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3"/>
    </row>
    <row r="3">
      <c r="A3" s="24" t="s">
        <v>21</v>
      </c>
      <c r="B3" s="25" t="s">
        <v>22</v>
      </c>
      <c r="C3" s="26" t="s">
        <v>22</v>
      </c>
      <c r="D3" s="26" t="s">
        <v>23</v>
      </c>
      <c r="E3" s="27" t="s">
        <v>22</v>
      </c>
      <c r="F3" s="27" t="s">
        <v>22</v>
      </c>
      <c r="G3" s="27" t="s">
        <v>22</v>
      </c>
      <c r="H3" s="26" t="s">
        <v>22</v>
      </c>
      <c r="I3" s="26" t="s">
        <v>22</v>
      </c>
      <c r="J3" s="26" t="s">
        <v>22</v>
      </c>
      <c r="K3" s="28" t="s">
        <v>22</v>
      </c>
      <c r="L3" s="28" t="s">
        <v>22</v>
      </c>
      <c r="M3" s="28" t="s">
        <v>22</v>
      </c>
      <c r="N3" s="29" t="s">
        <v>24</v>
      </c>
    </row>
    <row r="4">
      <c r="A4" s="24" t="s">
        <v>25</v>
      </c>
      <c r="B4" s="24">
        <v>2</v>
      </c>
      <c r="C4" s="24">
        <v>3</v>
      </c>
      <c r="D4" s="24">
        <v>3</v>
      </c>
      <c r="E4" s="30">
        <v>4</v>
      </c>
      <c r="F4" s="30">
        <v>6</v>
      </c>
      <c r="G4" s="30">
        <v>8</v>
      </c>
      <c r="H4" s="28">
        <v>9</v>
      </c>
      <c r="I4" s="28">
        <v>8</v>
      </c>
      <c r="J4" s="28">
        <v>8</v>
      </c>
      <c r="K4" s="28">
        <v>6</v>
      </c>
      <c r="L4" s="31">
        <v>4</v>
      </c>
      <c r="M4" s="31">
        <v>9</v>
      </c>
      <c r="N4" s="32" t="s">
        <v>26</v>
      </c>
    </row>
    <row r="5">
      <c r="A5" s="22" t="s">
        <v>27</v>
      </c>
      <c r="B5" s="22"/>
      <c r="C5" s="22"/>
      <c r="D5" s="6"/>
      <c r="E5" s="6"/>
      <c r="F5" s="6"/>
      <c r="G5" s="6"/>
      <c r="H5" s="6"/>
      <c r="I5" s="6"/>
      <c r="J5" s="6"/>
      <c r="K5" s="6"/>
      <c r="L5" s="6"/>
      <c r="M5" s="6"/>
      <c r="N5" s="33"/>
    </row>
    <row r="6"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28</v>
      </c>
      <c r="N6" s="33"/>
    </row>
    <row r="7">
      <c r="A7" s="24" t="s">
        <v>21</v>
      </c>
      <c r="B7" s="26">
        <f>AVERAGE(B4:B6)</f>
        <v>2</v>
      </c>
      <c r="C7" s="26" t="s">
        <v>22</v>
      </c>
      <c r="D7" s="34" t="s">
        <v>22</v>
      </c>
      <c r="E7" s="35" t="s">
        <v>22</v>
      </c>
      <c r="F7" s="35" t="s">
        <v>22</v>
      </c>
      <c r="G7" s="36" t="s">
        <v>22</v>
      </c>
      <c r="H7" s="26" t="s">
        <v>22</v>
      </c>
      <c r="I7" s="26" t="s">
        <v>22</v>
      </c>
      <c r="J7" s="26" t="s">
        <v>22</v>
      </c>
      <c r="K7" s="26" t="s">
        <v>22</v>
      </c>
      <c r="L7" s="28" t="s">
        <v>22</v>
      </c>
      <c r="M7" s="25" t="s">
        <v>22</v>
      </c>
      <c r="N7" s="37">
        <f>AVERAGE(B7:M7)</f>
        <v>2</v>
      </c>
    </row>
    <row r="8">
      <c r="A8" s="24" t="s">
        <v>25</v>
      </c>
      <c r="B8" s="31">
        <v>7</v>
      </c>
      <c r="C8" s="31">
        <v>1</v>
      </c>
      <c r="D8" s="38">
        <v>0</v>
      </c>
      <c r="E8" s="39">
        <v>7</v>
      </c>
      <c r="F8" s="39">
        <v>5</v>
      </c>
      <c r="G8" s="40">
        <v>5</v>
      </c>
      <c r="H8" s="28">
        <v>6</v>
      </c>
      <c r="I8" s="26">
        <v>9</v>
      </c>
      <c r="J8" s="31">
        <v>9</v>
      </c>
      <c r="K8" s="28">
        <v>3</v>
      </c>
      <c r="L8" s="31">
        <v>2</v>
      </c>
      <c r="M8" s="28">
        <v>2</v>
      </c>
      <c r="N8" s="32" t="s">
        <v>29</v>
      </c>
      <c r="O8" s="41"/>
    </row>
    <row r="9">
      <c r="A9" s="22" t="s">
        <v>30</v>
      </c>
      <c r="B9" s="22"/>
      <c r="C9" s="22"/>
      <c r="D9" s="6"/>
      <c r="E9" s="6"/>
      <c r="F9" s="6"/>
      <c r="G9" s="6"/>
      <c r="H9" s="6"/>
      <c r="I9" s="6"/>
      <c r="J9" s="6"/>
      <c r="K9" s="6"/>
      <c r="L9" s="4"/>
      <c r="M9" s="6"/>
      <c r="N9" s="33"/>
    </row>
    <row r="10">
      <c r="A10" s="24" t="s">
        <v>31</v>
      </c>
      <c r="B10" s="26">
        <f>AVERAGE(B8:B9)</f>
        <v>7</v>
      </c>
      <c r="C10" s="26" t="s">
        <v>22</v>
      </c>
      <c r="D10" s="26" t="s">
        <v>32</v>
      </c>
      <c r="E10" s="27" t="s">
        <v>33</v>
      </c>
      <c r="F10" s="27" t="s">
        <v>34</v>
      </c>
      <c r="G10" s="27" t="s">
        <v>35</v>
      </c>
      <c r="H10" s="26" t="s">
        <v>23</v>
      </c>
      <c r="I10" s="26" t="s">
        <v>36</v>
      </c>
      <c r="J10" s="26" t="s">
        <v>32</v>
      </c>
      <c r="K10" s="26" t="s">
        <v>23</v>
      </c>
      <c r="L10" s="28" t="s">
        <v>37</v>
      </c>
      <c r="M10" s="25" t="s">
        <v>36</v>
      </c>
      <c r="N10" s="32" t="s">
        <v>38</v>
      </c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42"/>
    </row>
    <row r="12">
      <c r="N12" s="23"/>
    </row>
    <row r="13">
      <c r="F13" t="s">
        <v>39</v>
      </c>
      <c r="N13" s="23"/>
    </row>
    <row r="14">
      <c r="A14" t="s">
        <v>40</v>
      </c>
      <c r="N14" s="23"/>
    </row>
    <row r="15">
      <c r="A15" t="s">
        <v>41</v>
      </c>
      <c r="N15" s="23"/>
    </row>
    <row r="16">
      <c r="N16" s="23"/>
    </row>
    <row r="17">
      <c r="N17" s="23"/>
    </row>
    <row r="18">
      <c r="N18" s="23"/>
    </row>
    <row r="19">
      <c r="N19" s="23"/>
    </row>
    <row r="20">
      <c r="N20" s="23"/>
    </row>
    <row r="21">
      <c r="N21" s="23"/>
    </row>
    <row r="22">
      <c r="N22" s="23"/>
    </row>
    <row r="23">
      <c r="N23" s="23"/>
    </row>
    <row r="24">
      <c r="N24" s="23"/>
    </row>
    <row r="25">
      <c r="N25" s="23"/>
    </row>
    <row r="26">
      <c r="N26" s="23"/>
    </row>
    <row r="27">
      <c r="N27" s="23"/>
    </row>
    <row r="28">
      <c r="N28" s="23"/>
    </row>
    <row r="29">
      <c r="N29" s="23"/>
    </row>
    <row r="30">
      <c r="N30" s="23"/>
    </row>
    <row r="31">
      <c r="N31" s="23"/>
    </row>
    <row r="32">
      <c r="N32" s="23"/>
    </row>
    <row r="33">
      <c r="N33" s="23"/>
    </row>
    <row r="34">
      <c r="N34" s="23"/>
    </row>
    <row r="35">
      <c r="N35" s="23"/>
    </row>
    <row r="36">
      <c r="N36" s="23"/>
    </row>
    <row r="37">
      <c r="N37" s="23"/>
    </row>
    <row r="38">
      <c r="N38" s="23"/>
    </row>
    <row r="39">
      <c r="N39" s="23"/>
    </row>
    <row r="40">
      <c r="N40" s="23"/>
    </row>
    <row r="41">
      <c r="N41" s="23"/>
    </row>
    <row r="42">
      <c r="N42" s="23"/>
    </row>
    <row r="43">
      <c r="N43" s="23"/>
    </row>
    <row r="44">
      <c r="N44" s="23"/>
    </row>
    <row r="45">
      <c r="N45" s="23"/>
    </row>
    <row r="46">
      <c r="N46" s="23"/>
    </row>
    <row r="47">
      <c r="N47" s="23"/>
    </row>
    <row r="48">
      <c r="N48" s="23"/>
    </row>
    <row r="49">
      <c r="N49" s="23"/>
    </row>
    <row r="50">
      <c r="N50" s="23"/>
    </row>
    <row r="51">
      <c r="N51" s="23"/>
    </row>
    <row r="52">
      <c r="N52" s="23"/>
    </row>
    <row r="53">
      <c r="N53" s="23"/>
    </row>
    <row r="54">
      <c r="N54" s="23"/>
    </row>
    <row r="55">
      <c r="N55" s="23"/>
    </row>
    <row r="56">
      <c r="N56" s="23"/>
    </row>
    <row r="57">
      <c r="N57" s="23"/>
    </row>
    <row r="58">
      <c r="N58" s="23"/>
    </row>
    <row r="59">
      <c r="N59" s="23"/>
    </row>
    <row r="60">
      <c r="N60" s="23"/>
    </row>
    <row r="61">
      <c r="N61" s="23"/>
    </row>
    <row r="62">
      <c r="N62" s="23"/>
    </row>
    <row r="63">
      <c r="N63" s="23"/>
    </row>
    <row r="64">
      <c r="N64" s="23"/>
    </row>
    <row r="65">
      <c r="N65" s="23"/>
    </row>
    <row r="66">
      <c r="N66" s="23"/>
    </row>
    <row r="67">
      <c r="N67" s="23"/>
    </row>
    <row r="68">
      <c r="N68" s="23"/>
    </row>
    <row r="69">
      <c r="N69" s="23"/>
    </row>
    <row r="70">
      <c r="N70" s="23"/>
    </row>
    <row r="71">
      <c r="N71" s="23"/>
    </row>
    <row r="72">
      <c r="N72" s="23"/>
    </row>
    <row r="73">
      <c r="N73" s="23"/>
    </row>
    <row r="74">
      <c r="N74" s="23"/>
    </row>
    <row r="75">
      <c r="N75" s="23"/>
    </row>
    <row r="76">
      <c r="N76" s="23"/>
    </row>
    <row r="77">
      <c r="N77" s="23"/>
    </row>
    <row r="78">
      <c r="N78" s="23"/>
    </row>
    <row r="79">
      <c r="N79" s="23"/>
    </row>
    <row r="80">
      <c r="N80" s="23"/>
    </row>
    <row r="81">
      <c r="N81" s="23"/>
    </row>
    <row r="82">
      <c r="N82" s="23"/>
    </row>
    <row r="83">
      <c r="N83" s="23"/>
    </row>
    <row r="84">
      <c r="N84" s="23"/>
    </row>
    <row r="85">
      <c r="N85" s="23"/>
    </row>
    <row r="86">
      <c r="N86" s="23"/>
    </row>
    <row r="87">
      <c r="N87" s="23"/>
    </row>
    <row r="88">
      <c r="N88" s="23"/>
    </row>
    <row r="89">
      <c r="N89" s="23"/>
    </row>
    <row r="90">
      <c r="N90" s="23"/>
    </row>
    <row r="91">
      <c r="N91" s="23"/>
    </row>
    <row r="92">
      <c r="N92" s="23"/>
    </row>
    <row r="93">
      <c r="N93" s="23"/>
    </row>
    <row r="94">
      <c r="N94" s="23"/>
    </row>
    <row r="95">
      <c r="N95" s="23"/>
    </row>
    <row r="96">
      <c r="N96" s="23"/>
    </row>
    <row r="97">
      <c r="N97" s="23"/>
    </row>
    <row r="98">
      <c r="N98" s="23"/>
    </row>
    <row r="99">
      <c r="N99" s="23"/>
    </row>
    <row r="100">
      <c r="N100" s="23"/>
    </row>
    <row r="101">
      <c r="N101" s="23"/>
    </row>
    <row r="102">
      <c r="N102" s="23"/>
    </row>
    <row r="103">
      <c r="N103" s="23"/>
    </row>
    <row r="104">
      <c r="N104" s="23"/>
    </row>
    <row r="105">
      <c r="N105" s="23"/>
    </row>
    <row r="106">
      <c r="N106" s="23"/>
    </row>
    <row r="107">
      <c r="N107" s="23"/>
    </row>
    <row r="108">
      <c r="N108" s="23"/>
    </row>
    <row r="109">
      <c r="N109" s="23"/>
    </row>
    <row r="110">
      <c r="N110" s="23"/>
    </row>
    <row r="111">
      <c r="N111" s="23"/>
    </row>
    <row r="112">
      <c r="N112" s="23"/>
    </row>
    <row r="113">
      <c r="N113" s="23"/>
    </row>
    <row r="114">
      <c r="N114" s="23"/>
    </row>
    <row r="115">
      <c r="N115" s="23"/>
    </row>
    <row r="116">
      <c r="N116" s="23"/>
    </row>
    <row r="117">
      <c r="N117" s="23"/>
    </row>
    <row r="118">
      <c r="N118" s="23"/>
    </row>
    <row r="119">
      <c r="N119" s="23"/>
    </row>
    <row r="120">
      <c r="N120" s="23"/>
    </row>
    <row r="121">
      <c r="N121" s="23"/>
    </row>
    <row r="122">
      <c r="N122" s="23"/>
    </row>
    <row r="123">
      <c r="N123" s="23"/>
    </row>
    <row r="124">
      <c r="N124" s="23"/>
    </row>
    <row r="125">
      <c r="N125" s="23"/>
    </row>
    <row r="126">
      <c r="N126" s="23"/>
    </row>
    <row r="127">
      <c r="N127" s="23"/>
    </row>
    <row r="128">
      <c r="N128" s="23"/>
    </row>
    <row r="129">
      <c r="N129" s="23"/>
    </row>
    <row r="130">
      <c r="N130" s="23"/>
    </row>
    <row r="131">
      <c r="N131" s="23"/>
    </row>
    <row r="132">
      <c r="N132" s="23"/>
    </row>
    <row r="133">
      <c r="N133" s="23"/>
    </row>
    <row r="134">
      <c r="N134" s="23"/>
    </row>
    <row r="135">
      <c r="N135" s="23"/>
    </row>
    <row r="136">
      <c r="N136" s="23"/>
    </row>
    <row r="137">
      <c r="N137" s="23"/>
    </row>
    <row r="138">
      <c r="N138" s="23"/>
    </row>
    <row r="139">
      <c r="N139" s="23"/>
    </row>
    <row r="140">
      <c r="N140" s="23"/>
    </row>
    <row r="141">
      <c r="N141" s="23"/>
    </row>
    <row r="142">
      <c r="N142" s="23"/>
    </row>
    <row r="143">
      <c r="N143" s="23"/>
    </row>
    <row r="144">
      <c r="N144" s="23"/>
    </row>
    <row r="145">
      <c r="N145" s="23"/>
    </row>
    <row r="146">
      <c r="N146" s="23"/>
    </row>
    <row r="147">
      <c r="N147" s="23"/>
    </row>
    <row r="148">
      <c r="N148" s="23"/>
    </row>
    <row r="149">
      <c r="N149" s="23"/>
    </row>
    <row r="150">
      <c r="N150" s="23"/>
    </row>
    <row r="151">
      <c r="N151" s="23"/>
    </row>
    <row r="152">
      <c r="N152" s="23"/>
    </row>
    <row r="153">
      <c r="N153" s="23"/>
    </row>
    <row r="154">
      <c r="N154" s="23"/>
    </row>
    <row r="155">
      <c r="N155" s="23"/>
    </row>
    <row r="156">
      <c r="N156" s="23"/>
    </row>
    <row r="157">
      <c r="N157" s="23"/>
    </row>
    <row r="158">
      <c r="N158" s="23"/>
    </row>
    <row r="159">
      <c r="N159" s="23"/>
    </row>
    <row r="160">
      <c r="N160" s="23"/>
    </row>
    <row r="161">
      <c r="N161" s="23"/>
    </row>
    <row r="162">
      <c r="N162" s="23"/>
    </row>
    <row r="163">
      <c r="N163" s="23"/>
    </row>
    <row r="164">
      <c r="N164" s="23"/>
    </row>
    <row r="165">
      <c r="N165" s="23"/>
    </row>
    <row r="166">
      <c r="N166" s="23"/>
    </row>
    <row r="167">
      <c r="N167" s="23"/>
    </row>
    <row r="168">
      <c r="N168" s="23"/>
    </row>
    <row r="169">
      <c r="N169" s="23"/>
    </row>
    <row r="170">
      <c r="N170" s="23"/>
    </row>
    <row r="171">
      <c r="N171" s="23"/>
    </row>
    <row r="172">
      <c r="N172" s="23"/>
    </row>
    <row r="173">
      <c r="N173" s="23"/>
    </row>
    <row r="174">
      <c r="N174" s="23"/>
    </row>
    <row r="175">
      <c r="N175" s="23"/>
    </row>
    <row r="176">
      <c r="N176" s="23"/>
    </row>
    <row r="177">
      <c r="N177" s="23"/>
    </row>
    <row r="178">
      <c r="N178" s="23"/>
    </row>
    <row r="179">
      <c r="N179" s="23"/>
    </row>
    <row r="180">
      <c r="N180" s="23"/>
    </row>
    <row r="181">
      <c r="N181" s="23"/>
    </row>
    <row r="182">
      <c r="N182" s="23"/>
    </row>
    <row r="183">
      <c r="N183" s="23"/>
    </row>
    <row r="184">
      <c r="N184" s="23"/>
    </row>
    <row r="185">
      <c r="N185" s="23"/>
    </row>
    <row r="186">
      <c r="N186" s="23"/>
    </row>
    <row r="187">
      <c r="N187" s="23"/>
    </row>
    <row r="188">
      <c r="N188" s="23"/>
    </row>
    <row r="189">
      <c r="N189" s="23"/>
    </row>
    <row r="190">
      <c r="N190" s="23"/>
    </row>
    <row r="191">
      <c r="N191" s="23"/>
    </row>
    <row r="192">
      <c r="N192" s="23"/>
    </row>
    <row r="193">
      <c r="N193" s="23"/>
    </row>
    <row r="194">
      <c r="N194" s="23"/>
    </row>
    <row r="195">
      <c r="N195" s="23"/>
    </row>
    <row r="196">
      <c r="N196" s="23"/>
    </row>
    <row r="197">
      <c r="N197" s="23"/>
    </row>
    <row r="198">
      <c r="N198" s="23"/>
    </row>
    <row r="199">
      <c r="N199" s="23"/>
    </row>
    <row r="200">
      <c r="N200" s="23"/>
    </row>
    <row r="201">
      <c r="N201" s="23"/>
    </row>
    <row r="202">
      <c r="N202" s="23"/>
    </row>
    <row r="203">
      <c r="N203" s="23"/>
    </row>
    <row r="204">
      <c r="N204" s="23"/>
    </row>
    <row r="205">
      <c r="N205" s="23"/>
    </row>
    <row r="206">
      <c r="N206" s="23"/>
    </row>
    <row r="207">
      <c r="N207" s="23"/>
    </row>
    <row r="208">
      <c r="N208" s="23"/>
    </row>
    <row r="209">
      <c r="N209" s="23"/>
    </row>
    <row r="210">
      <c r="N210" s="23"/>
    </row>
    <row r="211">
      <c r="N211" s="23"/>
    </row>
    <row r="212">
      <c r="N212" s="23"/>
    </row>
    <row r="213">
      <c r="N213" s="23"/>
    </row>
    <row r="214">
      <c r="N214" s="23"/>
    </row>
    <row r="215">
      <c r="N215" s="23"/>
    </row>
    <row r="216">
      <c r="N216" s="23"/>
    </row>
    <row r="217">
      <c r="N217" s="23"/>
    </row>
    <row r="218">
      <c r="N218" s="23"/>
    </row>
    <row r="219">
      <c r="N219" s="23"/>
    </row>
    <row r="220">
      <c r="N220" s="23"/>
    </row>
    <row r="221">
      <c r="N221" s="23"/>
    </row>
    <row r="222">
      <c r="N222" s="23"/>
    </row>
    <row r="223">
      <c r="N223" s="23"/>
    </row>
    <row r="224">
      <c r="N224" s="23"/>
    </row>
    <row r="225">
      <c r="N225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:H5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4">
        <v>287</v>
      </c>
      <c r="C2" s="4">
        <v>0</v>
      </c>
      <c r="D2" s="4">
        <v>28</v>
      </c>
      <c r="E2" s="5">
        <f t="shared" ref="E2:E3" si="14">C2/B2</f>
        <v>0</v>
      </c>
      <c r="F2" s="5">
        <f t="shared" ref="F2:F3" si="15">D2/B2</f>
        <v>9.7560975609756101e-002</v>
      </c>
      <c r="G2" s="4">
        <v>3</v>
      </c>
      <c r="H2" s="5">
        <f>G2/B2</f>
        <v>1.0452961672473868e-002</v>
      </c>
    </row>
    <row r="3">
      <c r="A3" t="s">
        <v>6</v>
      </c>
      <c r="B3" s="4">
        <v>302</v>
      </c>
      <c r="C3" s="4">
        <v>0</v>
      </c>
      <c r="D3" s="4">
        <v>17</v>
      </c>
      <c r="E3" s="5">
        <f t="shared" si="14"/>
        <v>0</v>
      </c>
      <c r="F3" s="5">
        <f t="shared" si="15"/>
        <v>5.6291390728476824e-002</v>
      </c>
      <c r="G3" s="6"/>
      <c r="H3" s="6"/>
    </row>
    <row r="4">
      <c r="B4" s="6"/>
      <c r="C4" s="6"/>
      <c r="D4" s="6"/>
      <c r="E4" s="7">
        <f>AVERAGE(E2:E3)</f>
        <v>0</v>
      </c>
      <c r="F4" s="8">
        <f>AVERAGE(F2:F3)</f>
        <v>7.6926183169116466e-002</v>
      </c>
      <c r="G4" s="9"/>
      <c r="H4" s="6"/>
    </row>
    <row r="5">
      <c r="A5" t="s">
        <v>7</v>
      </c>
      <c r="B5" s="4">
        <v>32</v>
      </c>
      <c r="C5" s="21">
        <v>0</v>
      </c>
      <c r="D5" s="21">
        <v>3</v>
      </c>
      <c r="E5" s="10">
        <f>C5/B5</f>
        <v>0</v>
      </c>
      <c r="F5" s="8">
        <f>D5/B5</f>
        <v>9.375e-002</v>
      </c>
      <c r="G5" s="6"/>
      <c r="H5" s="6"/>
    </row>
    <row r="6">
      <c r="E6" s="11"/>
      <c r="F6" s="1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9" activeCellId="0" sqref="E9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12">
        <v>344</v>
      </c>
      <c r="C2" s="12">
        <v>0</v>
      </c>
      <c r="D2" s="12">
        <v>27</v>
      </c>
      <c r="E2" s="43">
        <f t="shared" ref="E2:E3" si="16">C2/B2</f>
        <v>0</v>
      </c>
      <c r="F2" s="43">
        <f t="shared" ref="F2:F3" si="17">D2/B2</f>
        <v>7.8488372093023256e-002</v>
      </c>
      <c r="G2" s="12">
        <v>3</v>
      </c>
      <c r="H2" s="43">
        <f>G2/B2</f>
        <v>8.7209302325581394e-003</v>
      </c>
    </row>
    <row r="3">
      <c r="A3" t="s">
        <v>6</v>
      </c>
      <c r="B3" s="12">
        <v>331</v>
      </c>
      <c r="C3" s="12">
        <v>0</v>
      </c>
      <c r="D3" s="12">
        <v>30</v>
      </c>
      <c r="E3" s="43">
        <f t="shared" si="16"/>
        <v>0</v>
      </c>
      <c r="F3" s="43">
        <f t="shared" si="17"/>
        <v>9.0634441087613288e-002</v>
      </c>
      <c r="G3" s="12"/>
      <c r="H3" s="12"/>
    </row>
    <row r="4">
      <c r="B4" s="12"/>
      <c r="C4" s="12"/>
      <c r="D4" s="12"/>
      <c r="E4" s="44">
        <f>AVERAGE(E2:E3)</f>
        <v>0</v>
      </c>
      <c r="F4" s="45">
        <f>AVERAGE(F2:F3)</f>
        <v>8.4561406590318272e-002</v>
      </c>
      <c r="G4" s="43"/>
      <c r="H4" s="12"/>
    </row>
    <row r="5">
      <c r="A5" t="s">
        <v>7</v>
      </c>
      <c r="B5" s="12">
        <v>43</v>
      </c>
      <c r="C5" s="46">
        <v>0</v>
      </c>
      <c r="D5" s="46">
        <v>4</v>
      </c>
      <c r="E5" s="47">
        <f>C5/B5</f>
        <v>0</v>
      </c>
      <c r="F5" s="45">
        <f>D5/B5</f>
        <v>9.3023255813953487e-002</v>
      </c>
      <c r="G5" s="12"/>
      <c r="H5" s="12"/>
    </row>
    <row r="6">
      <c r="E6" s="11"/>
      <c r="F6" s="1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2" activeCellId="0" sqref="I12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t="s">
        <v>5</v>
      </c>
      <c r="B2" s="4">
        <v>311</v>
      </c>
      <c r="C2" s="4">
        <v>0</v>
      </c>
      <c r="D2" s="4">
        <v>20</v>
      </c>
      <c r="E2" s="5">
        <f t="shared" ref="E2:E3" si="18">C2/B2</f>
        <v>0</v>
      </c>
      <c r="F2" s="5">
        <f t="shared" ref="F2:F3" si="19">D2/B2</f>
        <v>6.4308681672025719e-002</v>
      </c>
      <c r="G2" s="4">
        <v>4</v>
      </c>
      <c r="H2" s="5">
        <f>G2/B2</f>
        <v>1.2861736334405145e-002</v>
      </c>
      <c r="I2" s="4"/>
    </row>
    <row r="3">
      <c r="A3" t="s">
        <v>6</v>
      </c>
      <c r="B3" s="4">
        <v>295</v>
      </c>
      <c r="C3" s="4">
        <v>0</v>
      </c>
      <c r="D3" s="4">
        <v>19</v>
      </c>
      <c r="E3" s="5">
        <f t="shared" si="18"/>
        <v>0</v>
      </c>
      <c r="F3" s="5">
        <f t="shared" si="19"/>
        <v>6.4406779661016947e-002</v>
      </c>
      <c r="G3" s="6"/>
      <c r="H3" s="6"/>
    </row>
    <row r="4">
      <c r="B4" s="6"/>
      <c r="C4" s="6"/>
      <c r="D4" s="6"/>
      <c r="E4" s="7">
        <f>AVERAGE(E2:E3)</f>
        <v>0</v>
      </c>
      <c r="F4" s="8">
        <f>AVERAGE(F2:F3)</f>
        <v>6.435773066652134e-002</v>
      </c>
      <c r="G4" s="9"/>
      <c r="H4" s="6"/>
    </row>
    <row r="5">
      <c r="A5" t="s">
        <v>7</v>
      </c>
      <c r="B5" s="4">
        <v>60</v>
      </c>
      <c r="C5" s="21">
        <v>0</v>
      </c>
      <c r="D5" s="21">
        <v>2</v>
      </c>
      <c r="E5" s="10">
        <f>C5/B5</f>
        <v>0</v>
      </c>
      <c r="F5" s="8">
        <f>D5/B5</f>
        <v>3.3333333333333333e-002</v>
      </c>
      <c r="G5" s="6"/>
      <c r="H5" s="6"/>
    </row>
    <row r="6">
      <c r="B6" s="6"/>
      <c r="C6" s="6"/>
      <c r="D6" s="6"/>
      <c r="E6" s="20"/>
      <c r="F6" s="20"/>
      <c r="G6" s="6"/>
      <c r="H6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4" activeCellId="0" sqref="G14"/>
    </sheetView>
  </sheetViews>
  <sheetFormatPr baseColWidth="10" defaultRowHeight="14.25"/>
  <sheetData>
    <row r="1" ht="85.5"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</row>
    <row r="2">
      <c r="A2" s="4" t="s">
        <v>5</v>
      </c>
      <c r="B2" s="4">
        <v>296</v>
      </c>
      <c r="C2" s="4">
        <v>0</v>
      </c>
      <c r="D2" s="4">
        <v>14</v>
      </c>
      <c r="E2" s="5">
        <f t="shared" ref="E2:E3" si="20">C2/B2</f>
        <v>0</v>
      </c>
      <c r="F2" s="5">
        <f t="shared" ref="F2:F3" si="21">D2/B2</f>
        <v>4.72972972972973e-002</v>
      </c>
      <c r="G2" s="4">
        <v>6</v>
      </c>
      <c r="H2" s="5">
        <f>G2/B2</f>
        <v>2.0270270270270271e-002</v>
      </c>
    </row>
    <row r="3">
      <c r="A3" t="s">
        <v>6</v>
      </c>
      <c r="B3" s="4">
        <v>269</v>
      </c>
      <c r="C3" s="4">
        <v>0</v>
      </c>
      <c r="D3" s="4">
        <v>9</v>
      </c>
      <c r="E3" s="5">
        <f t="shared" si="20"/>
        <v>0</v>
      </c>
      <c r="F3" s="5">
        <f t="shared" si="21"/>
        <v>3.3457249070631967e-002</v>
      </c>
      <c r="G3" s="6"/>
      <c r="H3" s="6"/>
    </row>
    <row r="4">
      <c r="B4" s="4"/>
      <c r="C4" s="4"/>
      <c r="D4" s="4"/>
      <c r="E4" s="7">
        <f>AVERAGE(E2:E3)</f>
        <v>0</v>
      </c>
      <c r="F4" s="8">
        <f>AVERAGE(F2:F3)</f>
        <v>4.0377273183964633e-002</v>
      </c>
      <c r="G4" s="9"/>
      <c r="H4" s="6"/>
    </row>
    <row r="5">
      <c r="A5" t="s">
        <v>7</v>
      </c>
      <c r="B5" s="4">
        <v>52</v>
      </c>
      <c r="C5" s="21">
        <v>0</v>
      </c>
      <c r="D5" s="21">
        <v>1</v>
      </c>
      <c r="E5" s="10">
        <f>C5/B5</f>
        <v>0</v>
      </c>
      <c r="F5" s="8">
        <f>D5/B5</f>
        <v>1.9230769230769232e-002</v>
      </c>
      <c r="G5" s="6"/>
      <c r="H5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:H5"/>
    </sheetView>
  </sheetViews>
  <sheetFormatPr baseColWidth="10" defaultRowHeight="14.25"/>
  <sheetData>
    <row r="1" ht="85.5">
      <c r="A1" s="12"/>
      <c r="B1" s="12"/>
      <c r="C1" s="1" t="s">
        <v>0</v>
      </c>
      <c r="D1" s="2" t="s">
        <v>1</v>
      </c>
      <c r="E1" s="3" t="s">
        <v>2</v>
      </c>
      <c r="F1" s="3" t="s">
        <v>3</v>
      </c>
      <c r="G1" s="2" t="s">
        <v>4</v>
      </c>
      <c r="H1" s="12"/>
    </row>
    <row r="2">
      <c r="A2" s="12" t="s">
        <v>5</v>
      </c>
      <c r="B2" s="4">
        <v>305</v>
      </c>
      <c r="C2" s="4">
        <v>0</v>
      </c>
      <c r="D2" s="4">
        <v>32</v>
      </c>
      <c r="E2" s="5">
        <f t="shared" ref="E2:E3" si="22">C2/B2</f>
        <v>0</v>
      </c>
      <c r="F2" s="5">
        <f t="shared" ref="F2:F3" si="23">D2/B2</f>
        <v>0.10491803278688525</v>
      </c>
      <c r="G2" s="4">
        <v>3</v>
      </c>
      <c r="H2" s="5">
        <f>G2/B2</f>
        <v>9.8360655737704927e-003</v>
      </c>
      <c r="I2" s="4"/>
    </row>
    <row r="3">
      <c r="A3" s="12" t="s">
        <v>6</v>
      </c>
      <c r="B3" s="4">
        <v>320</v>
      </c>
      <c r="C3" s="4">
        <v>0</v>
      </c>
      <c r="D3" s="4">
        <v>23</v>
      </c>
      <c r="E3" s="5">
        <f t="shared" si="22"/>
        <v>0</v>
      </c>
      <c r="F3" s="5">
        <f t="shared" si="23"/>
        <v>7.1874999999999994e-002</v>
      </c>
      <c r="G3" s="4"/>
      <c r="H3" s="6"/>
    </row>
    <row r="4">
      <c r="A4" s="12"/>
      <c r="B4" s="6"/>
      <c r="C4" s="6"/>
      <c r="D4" s="6"/>
      <c r="E4" s="7">
        <f>AVERAGE(E2:E3)</f>
        <v>0</v>
      </c>
      <c r="F4" s="8">
        <f>AVERAGE(F2:F3)</f>
        <v>8.839651639344262e-002</v>
      </c>
      <c r="G4" s="9"/>
      <c r="H4" s="6"/>
    </row>
    <row r="5">
      <c r="A5" s="12" t="s">
        <v>7</v>
      </c>
      <c r="B5" s="4">
        <v>56</v>
      </c>
      <c r="C5" s="48">
        <v>0</v>
      </c>
      <c r="D5" s="48">
        <v>1</v>
      </c>
      <c r="E5" s="49">
        <f>C5/B5</f>
        <v>0</v>
      </c>
      <c r="F5" s="8">
        <f>D5/B5</f>
        <v>1.7857142857142856e-002</v>
      </c>
      <c r="G5" s="6"/>
      <c r="H5" s="6"/>
    </row>
    <row r="6" ht="14.25">
      <c r="B6" s="6"/>
      <c r="C6" s="6"/>
      <c r="D6" s="6"/>
      <c r="E6" s="6"/>
      <c r="F6" s="6"/>
      <c r="G6" s="6"/>
      <c r="H6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ONLYOFFICE/7.3.0.184</Application>
  <Company>User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35</cp:revision>
  <dcterms:created xsi:type="dcterms:W3CDTF">2020-08-06T13:03:07Z</dcterms:created>
  <dcterms:modified xsi:type="dcterms:W3CDTF">2026-03-03T15:13:15Z</dcterms:modified>
</cp:coreProperties>
</file>